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Old Desktop Backup\E drive\EED_2025\Cost Estimation\Software\Inhouse\SAP PO\NREP_Material PO_from_2019_8_May_2026\pipe-components-price-calculator\"/>
    </mc:Choice>
  </mc:AlternateContent>
  <xr:revisionPtr revIDLastSave="0" documentId="13_ncr:1_{6E1B762C-B478-46F9-8A02-228731B03242}" xr6:coauthVersionLast="47" xr6:coauthVersionMax="47" xr10:uidLastSave="{00000000-0000-0000-0000-000000000000}"/>
  <bookViews>
    <workbookView xWindow="-110" yWindow="-110" windowWidth="19420" windowHeight="10300" tabRatio="773" firstSheet="1" activeTab="1" xr2:uid="{00000000-000D-0000-FFFF-FFFF00000000}"/>
  </bookViews>
  <sheets>
    <sheet name="Approval Summary" sheetId="1" r:id="rId1"/>
    <sheet name="Component Factor Master" sheetId="2" r:id="rId2"/>
    <sheet name="Multipliers_flange" sheetId="6" r:id="rId3"/>
    <sheet name="Multipliers_valve" sheetId="3" r:id="rId4"/>
    <sheet name="Methodology" sheetId="4" r:id="rId5"/>
    <sheet name="Budget Calculator Exampl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B3" i="6"/>
  <c r="B3" i="3"/>
  <c r="B6" i="5" l="1"/>
  <c r="B8" i="5"/>
  <c r="B21" i="1"/>
  <c r="B20" i="1"/>
  <c r="B19" i="1"/>
  <c r="B18" i="1"/>
  <c r="B17" i="1"/>
  <c r="B16" i="1"/>
  <c r="B12" i="5" l="1"/>
</calcChain>
</file>

<file path=xl/sharedStrings.xml><?xml version="1.0" encoding="utf-8"?>
<sst xmlns="http://schemas.openxmlformats.org/spreadsheetml/2006/main" count="460" uniqueCount="217">
  <si>
    <t>Budgetary Component Factor Master</t>
  </si>
  <si>
    <t>For Pipe Price Predictor Web App</t>
  </si>
  <si>
    <t>Purpose</t>
  </si>
  <si>
    <t>To approve a budgetary cost-factor table for converting pipe Rs/m into approximate component costs for fittings, flanges, valves, bolting, gaskets, traps and strainers.</t>
  </si>
  <si>
    <t>Formula</t>
  </si>
  <si>
    <t>Component Cost = Matching Pipe Rs/m × Budget Factor × Pressure Class Multiplier × Material Multiplier × Quantity</t>
  </si>
  <si>
    <t>Approval Use</t>
  </si>
  <si>
    <t>Budgetary estimate only. Not for final PO, tender recommendation, vendor negotiation, or detailed engineering estimate without validation.</t>
  </si>
  <si>
    <t>Base Assumption</t>
  </si>
  <si>
    <t>Carbon steel, matching NPS, STD/SCH 40 equivalent pipe basis, Class 150 for pressure class-sensitive components, supply cost only.</t>
  </si>
  <si>
    <t>Exclusions</t>
  </si>
  <si>
    <t>GST, freight, erection, welding, NDT, painting, testing, contractor margin, special trim and project-specific commercial loading.</t>
  </si>
  <si>
    <t>Prepared For</t>
  </si>
  <si>
    <t>Management Review and Approval</t>
  </si>
  <si>
    <t>Prepared On</t>
  </si>
  <si>
    <t>02-Jul-2026</t>
  </si>
  <si>
    <t>Source Logic</t>
  </si>
  <si>
    <t>Extends the Pipe Price Predictor pipe Rs/m logic and BOM grouping into a budgetary component factor master.</t>
  </si>
  <si>
    <t>Summary Metric</t>
  </si>
  <si>
    <t>Value</t>
  </si>
  <si>
    <t>Total Component Rows</t>
  </si>
  <si>
    <t>Auto-Cost Allowed Rows</t>
  </si>
  <si>
    <t>Manual Review Trigger Rows</t>
  </si>
  <si>
    <t>High Confidence Rows</t>
  </si>
  <si>
    <t>Medium Confidence Rows</t>
  </si>
  <si>
    <t>Low Confidence Rows</t>
  </si>
  <si>
    <t>Approval Parameter</t>
  </si>
  <si>
    <t>Management Decision</t>
  </si>
  <si>
    <t>Approved for Budgetary Web-App Use?</t>
  </si>
  <si>
    <t>Approved By</t>
  </si>
  <si>
    <t>Designation</t>
  </si>
  <si>
    <t>Date</t>
  </si>
  <si>
    <t>Comments</t>
  </si>
  <si>
    <t>Sl. No.</t>
  </si>
  <si>
    <t>Component Group</t>
  </si>
  <si>
    <t>Component Name</t>
  </si>
  <si>
    <t>Typical UOM</t>
  </si>
  <si>
    <t>Budget Factor vs Matching Pipe Rs/m</t>
  </si>
  <si>
    <t>Auto Cost Allowed</t>
  </si>
  <si>
    <t>Confidence</t>
  </si>
  <si>
    <t>Remarks</t>
  </si>
  <si>
    <t>Pipe Group</t>
  </si>
  <si>
    <t>Pipe</t>
  </si>
  <si>
    <t>M</t>
  </si>
  <si>
    <t>Yes</t>
  </si>
  <si>
    <t>High</t>
  </si>
  <si>
    <t>Base pipe rate per meter</t>
  </si>
  <si>
    <t>ERW/HFW Pipe</t>
  </si>
  <si>
    <t>Use same pipe Rs/m logic</t>
  </si>
  <si>
    <t>SAW Pipe</t>
  </si>
  <si>
    <t>Seamless Pipe</t>
  </si>
  <si>
    <t>Fitting Group</t>
  </si>
  <si>
    <t>Nipple</t>
  </si>
  <si>
    <t>NOS</t>
  </si>
  <si>
    <t>Medium</t>
  </si>
  <si>
    <t>Better classified as fitting for costing</t>
  </si>
  <si>
    <t>45 Degree Elbow</t>
  </si>
  <si>
    <t>Budgetary BW/SW fitting factor</t>
  </si>
  <si>
    <t>90 Degree Elbow</t>
  </si>
  <si>
    <t>Standard elbow factor</t>
  </si>
  <si>
    <t>Elbow</t>
  </si>
  <si>
    <t>Generic elbow fallback</t>
  </si>
  <si>
    <t>Equal Tee</t>
  </si>
  <si>
    <t>Straight tee budget factor</t>
  </si>
  <si>
    <t>Reducing Tee</t>
  </si>
  <si>
    <t>Use when branch size differs</t>
  </si>
  <si>
    <t>Tee</t>
  </si>
  <si>
    <t>Generic tee fallback</t>
  </si>
  <si>
    <t>Concentric Reducer</t>
  </si>
  <si>
    <t>Budgetary reducer factor</t>
  </si>
  <si>
    <t>Eccentric Reducer</t>
  </si>
  <si>
    <t>Use same as concentric reducer for budget</t>
  </si>
  <si>
    <t>Reducer</t>
  </si>
  <si>
    <t>Generic reducer fallback</t>
  </si>
  <si>
    <t>Concentric Swage</t>
  </si>
  <si>
    <t>Low</t>
  </si>
  <si>
    <t>Forged/special item, validate later</t>
  </si>
  <si>
    <t>Eccentric Swage</t>
  </si>
  <si>
    <t>Cap</t>
  </si>
  <si>
    <t>End cap factor</t>
  </si>
  <si>
    <t>Coupling</t>
  </si>
  <si>
    <t>Generic coupling fallback</t>
  </si>
  <si>
    <t>Full Coupling</t>
  </si>
  <si>
    <t>Small forged fitting</t>
  </si>
  <si>
    <t>Half Coupling</t>
  </si>
  <si>
    <t>Reducing Coupling</t>
  </si>
  <si>
    <t>Union</t>
  </si>
  <si>
    <t>Bought-out item, validate with PO data</t>
  </si>
  <si>
    <t>Weldolet</t>
  </si>
  <si>
    <t>Branch fitting, size and rating sensitive</t>
  </si>
  <si>
    <t>Flange Group</t>
  </si>
  <si>
    <t>Flange</t>
  </si>
  <si>
    <t>Generic flange fallback</t>
  </si>
  <si>
    <t>Socket Weld Flange</t>
  </si>
  <si>
    <t>Base Class 150 assumption</t>
  </si>
  <si>
    <t>Slip-On Flange</t>
  </si>
  <si>
    <t>Standard commodity flange type</t>
  </si>
  <si>
    <t>Weld Neck Flange</t>
  </si>
  <si>
    <t>Heavier than slip-on/socket weld</t>
  </si>
  <si>
    <t>Blind Flange</t>
  </si>
  <si>
    <t>Threaded Flange</t>
  </si>
  <si>
    <t>Small bore usage, validate later</t>
  </si>
  <si>
    <t>Lap Joint Flange</t>
  </si>
  <si>
    <t>Depends on stub end scope</t>
  </si>
  <si>
    <t>Figure 8 Flange</t>
  </si>
  <si>
    <t>Heavier spectacle blind item</t>
  </si>
  <si>
    <t>Spacer</t>
  </si>
  <si>
    <t>Spacer only</t>
  </si>
  <si>
    <t>Spade / Blind</t>
  </si>
  <si>
    <t>Paddle blind/spade item</t>
  </si>
  <si>
    <t>Valves Group</t>
  </si>
  <si>
    <t>Gate Valve</t>
  </si>
  <si>
    <t>Strongly rating, material, trim sensitive</t>
  </si>
  <si>
    <t>Globe Valve</t>
  </si>
  <si>
    <t>Usually costlier than gate valve</t>
  </si>
  <si>
    <t>Check Valve</t>
  </si>
  <si>
    <t>Depends on swing/lift/dual plate type</t>
  </si>
  <si>
    <t>Ball Valve</t>
  </si>
  <si>
    <t>Depends on floating/trunnion, end type</t>
  </si>
  <si>
    <t>Plug Valve</t>
  </si>
  <si>
    <t>Bought-out valve item</t>
  </si>
  <si>
    <t>Butterfly Valve</t>
  </si>
  <si>
    <t>Lower factor for large bore commodity use</t>
  </si>
  <si>
    <t>Valve</t>
  </si>
  <si>
    <t>Do not auto-cost unless valve type is known</t>
  </si>
  <si>
    <t>Bolt Group</t>
  </si>
  <si>
    <t>Stud with Nuts</t>
  </si>
  <si>
    <t>SET</t>
  </si>
  <si>
    <t>Per flange joint set</t>
  </si>
  <si>
    <t>Stud</t>
  </si>
  <si>
    <t>Use only if quantity is individual studs</t>
  </si>
  <si>
    <t>Bolt</t>
  </si>
  <si>
    <t>Use only if quantity is individual bolts</t>
  </si>
  <si>
    <t>Gasket Group</t>
  </si>
  <si>
    <t>Gasket</t>
  </si>
  <si>
    <t>Base Class 150 gasket assumption</t>
  </si>
  <si>
    <t>Trap/Strainer Group</t>
  </si>
  <si>
    <t>Steam Trap</t>
  </si>
  <si>
    <t>Bought-out item</t>
  </si>
  <si>
    <t>Trap</t>
  </si>
  <si>
    <t>Generic trap fallback</t>
  </si>
  <si>
    <t>Temporary Strainer</t>
  </si>
  <si>
    <t>Fabricated temporary item</t>
  </si>
  <si>
    <t>Permanent Strainer</t>
  </si>
  <si>
    <t>Bought-out strainer</t>
  </si>
  <si>
    <t>Strainer</t>
  </si>
  <si>
    <t>Generic fallback</t>
  </si>
  <si>
    <t>Other Group</t>
  </si>
  <si>
    <t>Unclassified</t>
  </si>
  <si>
    <t>Manual review required</t>
  </si>
  <si>
    <t>Other</t>
  </si>
  <si>
    <t>Pressure Class</t>
  </si>
  <si>
    <t>Multiplier</t>
  </si>
  <si>
    <t>Class 150</t>
  </si>
  <si>
    <t>Base case</t>
  </si>
  <si>
    <t>Class 300</t>
  </si>
  <si>
    <t>Class 600</t>
  </si>
  <si>
    <t>Apply to pressure class-sensitive items</t>
  </si>
  <si>
    <t>Class 900</t>
  </si>
  <si>
    <t>High pressure class item</t>
  </si>
  <si>
    <t>Class 1500</t>
  </si>
  <si>
    <t>Class 2500</t>
  </si>
  <si>
    <t>Material Group</t>
  </si>
  <si>
    <t>CS</t>
  </si>
  <si>
    <t>Initial default</t>
  </si>
  <si>
    <t>LTCS</t>
  </si>
  <si>
    <t>AS</t>
  </si>
  <si>
    <t>SS</t>
  </si>
  <si>
    <t>DSS</t>
  </si>
  <si>
    <t>Non-ferrous</t>
  </si>
  <si>
    <t>Section</t>
  </si>
  <si>
    <t>Description</t>
  </si>
  <si>
    <t>First-principles basis</t>
  </si>
  <si>
    <t>Pipe Rs/m is treated as the anchor cost. Every non-pipe component is expressed as an equivalent multiple of the matching size pipe rate per meter.</t>
  </si>
  <si>
    <t>Core formula</t>
  </si>
  <si>
    <t>Component Cost = Matching Pipe Rs/m × Budget Factor × Pressure Class Multiplier × Material Multiplier × Quantity.</t>
  </si>
  <si>
    <t>Where it works best</t>
  </si>
  <si>
    <t>Early stage budgeting, screening-level estimates, quick BOM cost comparison, and cost factor benchmarking.</t>
  </si>
  <si>
    <t>Where it should not be used</t>
  </si>
  <si>
    <t>Final purchase recommendation, L1 evaluation, detailed engineering estimate, or vendor negotiation without historical PO or quotation validation.</t>
  </si>
  <si>
    <t>Auto-cost control</t>
  </si>
  <si>
    <t>Rows marked 'No' in Auto Cost Allowed should trigger manual review instead of automatic pricing.</t>
  </si>
  <si>
    <t>Main risk</t>
  </si>
  <si>
    <t>A single factor cannot fully capture rating, metallurgy, trim, end connection, make, inspection level, and market timing.</t>
  </si>
  <si>
    <t>Recommended governance</t>
  </si>
  <si>
    <t>Review factors quarterly against PO history and vendor budgetary quotations. Lock approved factors by version number in the app.</t>
  </si>
  <si>
    <t>Recommended next step</t>
  </si>
  <si>
    <t>Create Version 1.0 approval, then update Version 1.1 after at least 20 to 30 recent purchase orders are mapped.</t>
  </si>
  <si>
    <t>Reference URL</t>
  </si>
  <si>
    <t>https://github.com/medinikb/Pipe-Price-Predictor</t>
  </si>
  <si>
    <t>Budget Calculator Example</t>
  </si>
  <si>
    <t>Input</t>
  </si>
  <si>
    <t>Unit / Selection</t>
  </si>
  <si>
    <t>Notes</t>
  </si>
  <si>
    <t>Matching Pipe Rate</t>
  </si>
  <si>
    <t>Rs/m</t>
  </si>
  <si>
    <t>User input from Pipe Price Predictor</t>
  </si>
  <si>
    <t>Component</t>
  </si>
  <si>
    <t>Dropdown</t>
  </si>
  <si>
    <t>Component selected from approved master</t>
  </si>
  <si>
    <t>Budget Factor</t>
  </si>
  <si>
    <t>x</t>
  </si>
  <si>
    <t>Looked up from Component Factor Master</t>
  </si>
  <si>
    <t>Select class</t>
  </si>
  <si>
    <t>Pressure Class Multiplier</t>
  </si>
  <si>
    <t>Looked up from Multipliers sheet</t>
  </si>
  <si>
    <t>Material Multiplier</t>
  </si>
  <si>
    <t>Quantity</t>
  </si>
  <si>
    <t>User input</t>
  </si>
  <si>
    <t>Estimated Component Cost</t>
  </si>
  <si>
    <t>Rs</t>
  </si>
  <si>
    <t>Budgetary estimate only</t>
  </si>
  <si>
    <t>same as CS pipe factor</t>
  </si>
  <si>
    <t>Factor of Generic fallback for each group take the 80 percentile of the group. But I should know that which items is applied factor of Generic fallbac.</t>
  </si>
  <si>
    <t>Apply to valves</t>
  </si>
  <si>
    <t>Apply to flanges, gaskets, bolting, strainers, traps and branch fittings</t>
  </si>
  <si>
    <t>For Valves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</si>
</sst>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x"/>
  </numFmts>
  <fonts count="9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3"/>
      <color rgb="FF1F4E78"/>
      <name val="Carlito"/>
    </font>
    <font>
      <b/>
      <sz val="11"/>
      <name val="Carlito"/>
    </font>
    <font>
      <b/>
      <sz val="16"/>
      <color rgb="FFFFFFFF"/>
      <name val="Carlito"/>
    </font>
    <font>
      <b/>
      <sz val="12"/>
      <name val="Carlito"/>
    </font>
    <font>
      <sz val="11"/>
      <color rgb="FF0563C1"/>
      <name val="Carlito"/>
    </font>
    <font>
      <sz val="11"/>
      <color rgb="FFFF0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0" fontId="1" fillId="2" borderId="0" xfId="0" applyFont="1" applyFill="1" applyAlignment="1">
      <alignment horizontal="center" vertical="top" wrapText="1"/>
    </xf>
    <xf numFmtId="2" fontId="0" fillId="0" borderId="0" xfId="0" applyNumberFormat="1"/>
    <xf numFmtId="2" fontId="1" fillId="2" borderId="0" xfId="0" applyNumberFormat="1" applyFont="1" applyFill="1" applyAlignment="1">
      <alignment horizontal="center" vertical="center" wrapText="1"/>
    </xf>
    <xf numFmtId="0" fontId="4" fillId="4" borderId="0" xfId="0" applyFont="1" applyFill="1"/>
    <xf numFmtId="0" fontId="4" fillId="4" borderId="0" xfId="0" applyFont="1" applyFill="1" applyAlignment="1">
      <alignment vertical="top" wrapText="1"/>
    </xf>
    <xf numFmtId="0" fontId="4" fillId="5" borderId="0" xfId="0" applyFont="1" applyFill="1"/>
    <xf numFmtId="0" fontId="0" fillId="0" borderId="0" xfId="0" applyAlignment="1">
      <alignment horizontal="center"/>
    </xf>
    <xf numFmtId="0" fontId="0" fillId="6" borderId="0" xfId="0" applyFill="1"/>
    <xf numFmtId="2" fontId="0" fillId="6" borderId="0" xfId="0" applyNumberFormat="1" applyFill="1"/>
    <xf numFmtId="3" fontId="6" fillId="7" borderId="0" xfId="0" applyNumberFormat="1" applyFont="1" applyFill="1"/>
    <xf numFmtId="0" fontId="7" fillId="0" borderId="0" xfId="0" applyFont="1"/>
    <xf numFmtId="164" fontId="8" fillId="0" borderId="0" xfId="0" applyNumberFormat="1" applyFont="1" applyAlignment="1">
      <alignment vertical="top" wrapText="1"/>
    </xf>
    <xf numFmtId="0" fontId="0" fillId="8" borderId="0" xfId="0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numFmt numFmtId="164" formatCode="0.00\x"/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onentFactorMaster" displayName="ComponentFactorMaster" ref="A1:I52">
  <autoFilter ref="A1:I52" xr:uid="{00000000-000C-0000-FFFF-FFFF00000000}">
    <filterColumn colId="1">
      <filters>
        <filter val="Fitting Group"/>
        <filter val="Flange Group"/>
      </filters>
    </filterColumn>
  </autoFilter>
  <tableColumns count="9">
    <tableColumn id="1" xr3:uid="{00000000-0010-0000-0000-000001000000}" name="Sl. No."/>
    <tableColumn id="2" xr3:uid="{00000000-0010-0000-0000-000002000000}" name="Component Group"/>
    <tableColumn id="3" xr3:uid="{00000000-0010-0000-0000-000003000000}" name="Component Name"/>
    <tableColumn id="4" xr3:uid="{00000000-0010-0000-0000-000004000000}" name="Typical UOM"/>
    <tableColumn id="5" xr3:uid="{00000000-0010-0000-0000-000005000000}" name="Budget Factor vs Matching Pipe Rs/m"/>
    <tableColumn id="10" xr3:uid="{303F8F7D-684C-4972-B8A9-F2F232E343D3}" name="For Valves" dataDxfId="3"/>
    <tableColumn id="6" xr3:uid="{00000000-0010-0000-0000-000006000000}" name="Auto Cost Allowed"/>
    <tableColumn id="7" xr3:uid="{00000000-0010-0000-0000-000007000000}" name="Confidence"/>
    <tableColumn id="8" xr3:uid="{00000000-0010-0000-0000-000008000000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EF33D9-1029-44C9-ABA5-265B56D724B8}" name="PressureClassMultipliers5" displayName="PressureClassMultipliers5" ref="A1:C7">
  <tableColumns count="3">
    <tableColumn id="1" xr3:uid="{C238AB13-8233-4E42-90CE-8B7F43360E46}" name="Pressure Class"/>
    <tableColumn id="2" xr3:uid="{6F320D3C-B064-4376-98FB-8F487F662250}" name="Multiplier"/>
    <tableColumn id="3" xr3:uid="{DE740469-C019-413E-AE00-4C9C1B4A475C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F5936D-9590-4E85-BA1A-0005F532BB37}" name="MaterialMultipliers6" displayName="MaterialMultipliers6" ref="A10:C16">
  <tableColumns count="3">
    <tableColumn id="1" xr3:uid="{3290CAAA-1CEF-4CE8-B3A6-1DFEA5ECF838}" name="Material Group"/>
    <tableColumn id="2" xr3:uid="{BA2A4B23-396D-4789-AA88-3AB7A7BA80B0}" name="Multiplier"/>
    <tableColumn id="3" xr3:uid="{EAB4F514-A955-4A24-B144-0DB9FA5B5DA2}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essureClassMultipliers" displayName="PressureClassMultipliers" ref="A1:C7">
  <tableColumns count="3">
    <tableColumn id="1" xr3:uid="{00000000-0010-0000-0100-000001000000}" name="Pressure Class"/>
    <tableColumn id="2" xr3:uid="{00000000-0010-0000-0100-000002000000}" name="Multiplier"/>
    <tableColumn id="3" xr3:uid="{00000000-0010-0000-0100-000003000000}" name="Remar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terialMultipliers" displayName="MaterialMultipliers" ref="A10:C16">
  <tableColumns count="3">
    <tableColumn id="1" xr3:uid="{00000000-0010-0000-0200-000001000000}" name="Material Group"/>
    <tableColumn id="2" xr3:uid="{00000000-0010-0000-0200-000002000000}" name="Multiplier"/>
    <tableColumn id="3" xr3:uid="{00000000-0010-0000-0200-000003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zoomScale="85" zoomScaleNormal="85" workbookViewId="0">
      <selection activeCell="B7" sqref="B7"/>
    </sheetView>
  </sheetViews>
  <sheetFormatPr defaultRowHeight="14"/>
  <cols>
    <col min="1" max="1" width="24" customWidth="1"/>
    <col min="2" max="2" width="98.4140625" customWidth="1"/>
    <col min="3" max="3" width="45.75" customWidth="1"/>
  </cols>
  <sheetData>
    <row r="1" spans="1:3" ht="18.649999999999999" customHeight="1">
      <c r="A1" s="18" t="s">
        <v>0</v>
      </c>
      <c r="B1" s="19"/>
    </row>
    <row r="2" spans="1:3" ht="18.649999999999999" customHeight="1">
      <c r="A2" s="20" t="s">
        <v>1</v>
      </c>
      <c r="B2" s="19"/>
    </row>
    <row r="4" spans="1:3" ht="28">
      <c r="A4" s="9" t="s">
        <v>2</v>
      </c>
      <c r="B4" s="2" t="s">
        <v>3</v>
      </c>
    </row>
    <row r="5" spans="1:3">
      <c r="A5" s="9" t="s">
        <v>4</v>
      </c>
      <c r="B5" s="2" t="s">
        <v>5</v>
      </c>
    </row>
    <row r="6" spans="1:3" ht="42">
      <c r="A6" s="9" t="s">
        <v>6</v>
      </c>
      <c r="B6" s="2" t="s">
        <v>7</v>
      </c>
      <c r="C6" s="17" t="s">
        <v>213</v>
      </c>
    </row>
    <row r="7" spans="1:3" ht="28">
      <c r="A7" s="9" t="s">
        <v>8</v>
      </c>
      <c r="B7" s="2" t="s">
        <v>9</v>
      </c>
    </row>
    <row r="8" spans="1:3" ht="28">
      <c r="A8" s="9" t="s">
        <v>10</v>
      </c>
      <c r="B8" s="2" t="s">
        <v>11</v>
      </c>
    </row>
    <row r="9" spans="1:3">
      <c r="A9" s="9"/>
      <c r="B9" s="2"/>
    </row>
    <row r="10" spans="1:3">
      <c r="A10" s="9" t="s">
        <v>12</v>
      </c>
      <c r="B10" s="2" t="s">
        <v>13</v>
      </c>
    </row>
    <row r="11" spans="1:3">
      <c r="A11" s="9" t="s">
        <v>14</v>
      </c>
      <c r="B11" s="2" t="s">
        <v>15</v>
      </c>
    </row>
    <row r="12" spans="1:3">
      <c r="A12" s="9" t="s">
        <v>16</v>
      </c>
      <c r="B12" s="2" t="s">
        <v>17</v>
      </c>
    </row>
    <row r="15" spans="1:3">
      <c r="A15" s="1" t="s">
        <v>18</v>
      </c>
      <c r="B15" s="1" t="s">
        <v>19</v>
      </c>
    </row>
    <row r="16" spans="1:3">
      <c r="A16" s="10" t="s">
        <v>20</v>
      </c>
      <c r="B16" s="11">
        <f>COUNTA('Component Factor Master'!A2:A52)</f>
        <v>51</v>
      </c>
    </row>
    <row r="17" spans="1:2">
      <c r="A17" s="10" t="s">
        <v>21</v>
      </c>
      <c r="B17" s="11">
        <f>COUNTIF('Component Factor Master'!G2:G52,"Yes")</f>
        <v>51</v>
      </c>
    </row>
    <row r="18" spans="1:2">
      <c r="A18" s="10" t="s">
        <v>22</v>
      </c>
      <c r="B18" s="11">
        <f>COUNTIF('Component Factor Master'!G2:G52,"No")</f>
        <v>0</v>
      </c>
    </row>
    <row r="19" spans="1:2">
      <c r="A19" s="10" t="s">
        <v>23</v>
      </c>
      <c r="B19" s="11">
        <f>COUNTIF('Component Factor Master'!H2:H52,"High")</f>
        <v>4</v>
      </c>
    </row>
    <row r="20" spans="1:2">
      <c r="A20" s="10" t="s">
        <v>24</v>
      </c>
      <c r="B20" s="11">
        <f>COUNTIF('Component Factor Master'!H2:H52,"Medium")</f>
        <v>21</v>
      </c>
    </row>
    <row r="21" spans="1:2">
      <c r="A21" s="10" t="s">
        <v>25</v>
      </c>
      <c r="B21" s="11">
        <f>COUNTIF('Component Factor Master'!H2:H52,"Low")</f>
        <v>26</v>
      </c>
    </row>
    <row r="24" spans="1:2">
      <c r="A24" s="1" t="s">
        <v>26</v>
      </c>
      <c r="B24" s="1" t="s">
        <v>27</v>
      </c>
    </row>
    <row r="25" spans="1:2">
      <c r="A25" s="8" t="s">
        <v>28</v>
      </c>
      <c r="B25" s="12"/>
    </row>
    <row r="26" spans="1:2">
      <c r="A26" s="8" t="s">
        <v>29</v>
      </c>
      <c r="B26" s="12"/>
    </row>
    <row r="27" spans="1:2">
      <c r="A27" s="8" t="s">
        <v>30</v>
      </c>
      <c r="B27" s="12"/>
    </row>
    <row r="28" spans="1:2">
      <c r="A28" s="8" t="s">
        <v>31</v>
      </c>
      <c r="B28" s="12"/>
    </row>
    <row r="29" spans="1:2" ht="30" customHeight="1">
      <c r="A29" s="8" t="s">
        <v>32</v>
      </c>
      <c r="B29" s="12"/>
    </row>
  </sheetData>
  <mergeCells count="2">
    <mergeCell ref="A1:B1"/>
    <mergeCell ref="A2:B2"/>
  </mergeCells>
  <dataValidations count="1">
    <dataValidation type="list" sqref="B25" xr:uid="{00000000-0002-0000-0000-000000000000}">
      <formula1>"Approved,Approved with Changes,Not Approved"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tabSelected="1" zoomScale="84" workbookViewId="0">
      <selection activeCell="E7" sqref="E7"/>
    </sheetView>
  </sheetViews>
  <sheetFormatPr defaultRowHeight="14"/>
  <cols>
    <col min="1" max="1" width="9" customWidth="1"/>
    <col min="2" max="2" width="22" customWidth="1"/>
    <col min="3" max="3" width="29.25" customWidth="1"/>
    <col min="4" max="4" width="12" customWidth="1"/>
    <col min="5" max="6" width="22.75" customWidth="1"/>
    <col min="7" max="7" width="16" customWidth="1"/>
    <col min="8" max="8" width="13" customWidth="1"/>
    <col min="9" max="9" width="44" customWidth="1"/>
  </cols>
  <sheetData>
    <row r="1" spans="1:9" ht="28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216</v>
      </c>
      <c r="G1" s="1" t="s">
        <v>38</v>
      </c>
      <c r="H1" s="1" t="s">
        <v>39</v>
      </c>
      <c r="I1" s="1" t="s">
        <v>40</v>
      </c>
    </row>
    <row r="2" spans="1:9" hidden="1">
      <c r="A2" s="2">
        <v>1</v>
      </c>
      <c r="B2" s="2" t="s">
        <v>41</v>
      </c>
      <c r="C2" s="2" t="s">
        <v>42</v>
      </c>
      <c r="D2" s="2" t="s">
        <v>43</v>
      </c>
      <c r="E2" s="3">
        <v>1</v>
      </c>
      <c r="F2" s="3"/>
      <c r="G2" s="2" t="s">
        <v>44</v>
      </c>
      <c r="H2" s="2" t="s">
        <v>45</v>
      </c>
      <c r="I2" s="2" t="s">
        <v>46</v>
      </c>
    </row>
    <row r="3" spans="1:9" hidden="1">
      <c r="A3" s="2">
        <v>2</v>
      </c>
      <c r="B3" s="2" t="s">
        <v>41</v>
      </c>
      <c r="C3" s="2" t="s">
        <v>47</v>
      </c>
      <c r="D3" s="2" t="s">
        <v>43</v>
      </c>
      <c r="E3" s="3">
        <v>1</v>
      </c>
      <c r="F3" s="3"/>
      <c r="G3" s="2" t="s">
        <v>44</v>
      </c>
      <c r="H3" s="2" t="s">
        <v>45</v>
      </c>
      <c r="I3" s="2" t="s">
        <v>48</v>
      </c>
    </row>
    <row r="4" spans="1:9" hidden="1">
      <c r="A4" s="2">
        <v>3</v>
      </c>
      <c r="B4" s="2" t="s">
        <v>41</v>
      </c>
      <c r="C4" s="2" t="s">
        <v>49</v>
      </c>
      <c r="D4" s="2" t="s">
        <v>43</v>
      </c>
      <c r="E4" s="3">
        <v>1</v>
      </c>
      <c r="F4" s="3"/>
      <c r="G4" s="2" t="s">
        <v>44</v>
      </c>
      <c r="H4" s="2" t="s">
        <v>45</v>
      </c>
      <c r="I4" s="2" t="s">
        <v>48</v>
      </c>
    </row>
    <row r="5" spans="1:9" hidden="1">
      <c r="A5" s="2">
        <v>4</v>
      </c>
      <c r="B5" s="2" t="s">
        <v>41</v>
      </c>
      <c r="C5" s="2" t="s">
        <v>50</v>
      </c>
      <c r="D5" s="2" t="s">
        <v>43</v>
      </c>
      <c r="E5" s="3">
        <v>1</v>
      </c>
      <c r="F5" s="3"/>
      <c r="G5" s="2" t="s">
        <v>44</v>
      </c>
      <c r="H5" s="2" t="s">
        <v>45</v>
      </c>
      <c r="I5" s="2" t="s">
        <v>48</v>
      </c>
    </row>
    <row r="6" spans="1:9">
      <c r="A6" s="2">
        <v>5</v>
      </c>
      <c r="B6" s="2" t="s">
        <v>51</v>
      </c>
      <c r="C6" s="2" t="s">
        <v>52</v>
      </c>
      <c r="D6" s="2" t="s">
        <v>53</v>
      </c>
      <c r="E6" s="3">
        <v>0.16</v>
      </c>
      <c r="F6" s="3"/>
      <c r="G6" s="2" t="s">
        <v>44</v>
      </c>
      <c r="H6" s="2" t="s">
        <v>54</v>
      </c>
      <c r="I6" s="2" t="s">
        <v>55</v>
      </c>
    </row>
    <row r="7" spans="1:9">
      <c r="A7" s="2">
        <v>6</v>
      </c>
      <c r="B7" s="2" t="s">
        <v>51</v>
      </c>
      <c r="C7" s="2" t="s">
        <v>56</v>
      </c>
      <c r="D7" s="2" t="s">
        <v>53</v>
      </c>
      <c r="E7" s="16">
        <v>0.35</v>
      </c>
      <c r="F7" s="16"/>
      <c r="G7" s="2" t="s">
        <v>44</v>
      </c>
      <c r="H7" s="2" t="s">
        <v>54</v>
      </c>
      <c r="I7" s="2" t="s">
        <v>57</v>
      </c>
    </row>
    <row r="8" spans="1:9">
      <c r="A8" s="2">
        <v>7</v>
      </c>
      <c r="B8" s="2" t="s">
        <v>51</v>
      </c>
      <c r="C8" s="2" t="s">
        <v>58</v>
      </c>
      <c r="D8" s="2" t="s">
        <v>53</v>
      </c>
      <c r="E8" s="16">
        <v>0.55000000000000004</v>
      </c>
      <c r="F8" s="16"/>
      <c r="G8" s="2" t="s">
        <v>44</v>
      </c>
      <c r="H8" s="2" t="s">
        <v>54</v>
      </c>
      <c r="I8" s="2" t="s">
        <v>59</v>
      </c>
    </row>
    <row r="9" spans="1:9">
      <c r="A9" s="2">
        <v>8</v>
      </c>
      <c r="B9" s="2" t="s">
        <v>51</v>
      </c>
      <c r="C9" s="2" t="s">
        <v>60</v>
      </c>
      <c r="D9" s="2" t="s">
        <v>53</v>
      </c>
      <c r="E9" s="16">
        <v>0.55000000000000004</v>
      </c>
      <c r="F9" s="16"/>
      <c r="G9" s="2" t="s">
        <v>44</v>
      </c>
      <c r="H9" s="2" t="s">
        <v>54</v>
      </c>
      <c r="I9" s="2" t="s">
        <v>61</v>
      </c>
    </row>
    <row r="10" spans="1:9">
      <c r="A10" s="2">
        <v>9</v>
      </c>
      <c r="B10" s="2" t="s">
        <v>51</v>
      </c>
      <c r="C10" s="2" t="s">
        <v>62</v>
      </c>
      <c r="D10" s="2" t="s">
        <v>53</v>
      </c>
      <c r="E10" s="16">
        <v>0.55000000000000004</v>
      </c>
      <c r="F10" s="16"/>
      <c r="G10" s="2" t="s">
        <v>44</v>
      </c>
      <c r="H10" s="2" t="s">
        <v>54</v>
      </c>
      <c r="I10" s="2" t="s">
        <v>63</v>
      </c>
    </row>
    <row r="11" spans="1:9">
      <c r="A11" s="2">
        <v>10</v>
      </c>
      <c r="B11" s="2" t="s">
        <v>51</v>
      </c>
      <c r="C11" s="2" t="s">
        <v>64</v>
      </c>
      <c r="D11" s="2" t="s">
        <v>53</v>
      </c>
      <c r="E11" s="16">
        <v>0.4</v>
      </c>
      <c r="F11" s="16"/>
      <c r="G11" s="2" t="s">
        <v>44</v>
      </c>
      <c r="H11" s="2" t="s">
        <v>54</v>
      </c>
      <c r="I11" s="2" t="s">
        <v>65</v>
      </c>
    </row>
    <row r="12" spans="1:9">
      <c r="A12" s="2">
        <v>11</v>
      </c>
      <c r="B12" s="2" t="s">
        <v>51</v>
      </c>
      <c r="C12" s="2" t="s">
        <v>66</v>
      </c>
      <c r="D12" s="2" t="s">
        <v>53</v>
      </c>
      <c r="E12" s="16">
        <v>0.55000000000000004</v>
      </c>
      <c r="F12" s="16"/>
      <c r="G12" s="2" t="s">
        <v>44</v>
      </c>
      <c r="H12" s="2" t="s">
        <v>54</v>
      </c>
      <c r="I12" s="2" t="s">
        <v>67</v>
      </c>
    </row>
    <row r="13" spans="1:9">
      <c r="A13" s="2">
        <v>12</v>
      </c>
      <c r="B13" s="2" t="s">
        <v>51</v>
      </c>
      <c r="C13" s="2" t="s">
        <v>68</v>
      </c>
      <c r="D13" s="2" t="s">
        <v>53</v>
      </c>
      <c r="E13" s="16">
        <v>0.3</v>
      </c>
      <c r="F13" s="16"/>
      <c r="G13" s="2" t="s">
        <v>44</v>
      </c>
      <c r="H13" s="2" t="s">
        <v>54</v>
      </c>
      <c r="I13" s="2" t="s">
        <v>69</v>
      </c>
    </row>
    <row r="14" spans="1:9">
      <c r="A14" s="2">
        <v>13</v>
      </c>
      <c r="B14" s="2" t="s">
        <v>51</v>
      </c>
      <c r="C14" s="2" t="s">
        <v>70</v>
      </c>
      <c r="D14" s="2" t="s">
        <v>53</v>
      </c>
      <c r="E14" s="16">
        <v>0.3</v>
      </c>
      <c r="F14" s="16"/>
      <c r="G14" s="2" t="s">
        <v>44</v>
      </c>
      <c r="H14" s="2" t="s">
        <v>54</v>
      </c>
      <c r="I14" s="2" t="s">
        <v>71</v>
      </c>
    </row>
    <row r="15" spans="1:9">
      <c r="A15" s="2">
        <v>14</v>
      </c>
      <c r="B15" s="2" t="s">
        <v>51</v>
      </c>
      <c r="C15" s="2" t="s">
        <v>72</v>
      </c>
      <c r="D15" s="2" t="s">
        <v>53</v>
      </c>
      <c r="E15" s="16">
        <v>0.3</v>
      </c>
      <c r="F15" s="16"/>
      <c r="G15" s="2" t="s">
        <v>44</v>
      </c>
      <c r="H15" s="2" t="s">
        <v>54</v>
      </c>
      <c r="I15" s="2" t="s">
        <v>73</v>
      </c>
    </row>
    <row r="16" spans="1:9">
      <c r="A16" s="2">
        <v>15</v>
      </c>
      <c r="B16" s="2" t="s">
        <v>51</v>
      </c>
      <c r="C16" s="2" t="s">
        <v>74</v>
      </c>
      <c r="D16" s="2" t="s">
        <v>53</v>
      </c>
      <c r="E16" s="3">
        <v>0.8</v>
      </c>
      <c r="F16" s="3"/>
      <c r="G16" s="2" t="s">
        <v>44</v>
      </c>
      <c r="H16" s="2" t="s">
        <v>75</v>
      </c>
      <c r="I16" s="2" t="s">
        <v>76</v>
      </c>
    </row>
    <row r="17" spans="1:9">
      <c r="A17" s="2">
        <v>16</v>
      </c>
      <c r="B17" s="2" t="s">
        <v>51</v>
      </c>
      <c r="C17" s="2" t="s">
        <v>77</v>
      </c>
      <c r="D17" s="2" t="s">
        <v>53</v>
      </c>
      <c r="E17" s="3">
        <v>0.8</v>
      </c>
      <c r="F17" s="3"/>
      <c r="G17" s="2" t="s">
        <v>44</v>
      </c>
      <c r="H17" s="2" t="s">
        <v>75</v>
      </c>
      <c r="I17" s="2" t="s">
        <v>76</v>
      </c>
    </row>
    <row r="18" spans="1:9">
      <c r="A18" s="2">
        <v>17</v>
      </c>
      <c r="B18" s="2" t="s">
        <v>51</v>
      </c>
      <c r="C18" s="2" t="s">
        <v>78</v>
      </c>
      <c r="D18" s="2" t="s">
        <v>53</v>
      </c>
      <c r="E18" s="3">
        <v>0.25</v>
      </c>
      <c r="F18" s="3"/>
      <c r="G18" s="2" t="s">
        <v>44</v>
      </c>
      <c r="H18" s="2" t="s">
        <v>54</v>
      </c>
      <c r="I18" s="2" t="s">
        <v>79</v>
      </c>
    </row>
    <row r="19" spans="1:9">
      <c r="A19" s="2">
        <v>18</v>
      </c>
      <c r="B19" s="2" t="s">
        <v>51</v>
      </c>
      <c r="C19" s="2" t="s">
        <v>80</v>
      </c>
      <c r="D19" s="2" t="s">
        <v>53</v>
      </c>
      <c r="E19" s="16">
        <v>0.45</v>
      </c>
      <c r="F19" s="16"/>
      <c r="G19" s="2" t="s">
        <v>44</v>
      </c>
      <c r="H19" s="2" t="s">
        <v>54</v>
      </c>
      <c r="I19" s="2" t="s">
        <v>81</v>
      </c>
    </row>
    <row r="20" spans="1:9">
      <c r="A20" s="2">
        <v>19</v>
      </c>
      <c r="B20" s="2" t="s">
        <v>51</v>
      </c>
      <c r="C20" s="2" t="s">
        <v>82</v>
      </c>
      <c r="D20" s="2" t="s">
        <v>53</v>
      </c>
      <c r="E20" s="16">
        <v>0.45</v>
      </c>
      <c r="F20" s="16"/>
      <c r="G20" s="2" t="s">
        <v>44</v>
      </c>
      <c r="H20" s="2" t="s">
        <v>54</v>
      </c>
      <c r="I20" s="2" t="s">
        <v>83</v>
      </c>
    </row>
    <row r="21" spans="1:9">
      <c r="A21" s="2">
        <v>20</v>
      </c>
      <c r="B21" s="2" t="s">
        <v>51</v>
      </c>
      <c r="C21" s="2" t="s">
        <v>84</v>
      </c>
      <c r="D21" s="2" t="s">
        <v>53</v>
      </c>
      <c r="E21" s="16">
        <v>0.35</v>
      </c>
      <c r="F21" s="16"/>
      <c r="G21" s="2" t="s">
        <v>44</v>
      </c>
      <c r="H21" s="2" t="s">
        <v>54</v>
      </c>
      <c r="I21" s="2" t="s">
        <v>83</v>
      </c>
    </row>
    <row r="22" spans="1:9">
      <c r="A22" s="2">
        <v>21</v>
      </c>
      <c r="B22" s="2" t="s">
        <v>51</v>
      </c>
      <c r="C22" s="2" t="s">
        <v>85</v>
      </c>
      <c r="D22" s="2" t="s">
        <v>53</v>
      </c>
      <c r="E22" s="16">
        <v>0.35</v>
      </c>
      <c r="F22" s="16"/>
      <c r="G22" s="2" t="s">
        <v>44</v>
      </c>
      <c r="H22" s="2" t="s">
        <v>54</v>
      </c>
      <c r="I22" s="2" t="s">
        <v>83</v>
      </c>
    </row>
    <row r="23" spans="1:9">
      <c r="A23" s="2">
        <v>22</v>
      </c>
      <c r="B23" s="2" t="s">
        <v>51</v>
      </c>
      <c r="C23" s="2" t="s">
        <v>86</v>
      </c>
      <c r="D23" s="2" t="s">
        <v>53</v>
      </c>
      <c r="E23" s="16">
        <v>0.35</v>
      </c>
      <c r="F23" s="16"/>
      <c r="G23" s="2" t="s">
        <v>44</v>
      </c>
      <c r="H23" s="2" t="s">
        <v>75</v>
      </c>
      <c r="I23" s="2" t="s">
        <v>87</v>
      </c>
    </row>
    <row r="24" spans="1:9">
      <c r="A24" s="2">
        <v>23</v>
      </c>
      <c r="B24" s="2" t="s">
        <v>51</v>
      </c>
      <c r="C24" s="2" t="s">
        <v>88</v>
      </c>
      <c r="D24" s="2" t="s">
        <v>53</v>
      </c>
      <c r="E24" s="16">
        <v>0.55000000000000004</v>
      </c>
      <c r="F24" s="16"/>
      <c r="G24" s="2" t="s">
        <v>44</v>
      </c>
      <c r="H24" s="2" t="s">
        <v>75</v>
      </c>
      <c r="I24" s="2" t="s">
        <v>89</v>
      </c>
    </row>
    <row r="25" spans="1:9">
      <c r="A25" s="2">
        <v>24</v>
      </c>
      <c r="B25" s="2" t="s">
        <v>90</v>
      </c>
      <c r="C25" s="2" t="s">
        <v>91</v>
      </c>
      <c r="D25" s="2" t="s">
        <v>53</v>
      </c>
      <c r="E25" s="16">
        <v>0.8</v>
      </c>
      <c r="F25" s="16"/>
      <c r="G25" s="2" t="s">
        <v>44</v>
      </c>
      <c r="H25" s="2" t="s">
        <v>54</v>
      </c>
      <c r="I25" s="2" t="s">
        <v>92</v>
      </c>
    </row>
    <row r="26" spans="1:9">
      <c r="A26" s="2">
        <v>25</v>
      </c>
      <c r="B26" s="2" t="s">
        <v>90</v>
      </c>
      <c r="C26" s="2" t="s">
        <v>93</v>
      </c>
      <c r="D26" s="2" t="s">
        <v>53</v>
      </c>
      <c r="E26" s="16">
        <v>0.8</v>
      </c>
      <c r="F26" s="16"/>
      <c r="G26" s="2" t="s">
        <v>44</v>
      </c>
      <c r="H26" s="2" t="s">
        <v>54</v>
      </c>
      <c r="I26" s="2" t="s">
        <v>94</v>
      </c>
    </row>
    <row r="27" spans="1:9">
      <c r="A27" s="2">
        <v>26</v>
      </c>
      <c r="B27" s="2" t="s">
        <v>90</v>
      </c>
      <c r="C27" s="2" t="s">
        <v>95</v>
      </c>
      <c r="D27" s="2" t="s">
        <v>53</v>
      </c>
      <c r="E27" s="16">
        <v>0.7</v>
      </c>
      <c r="F27" s="16"/>
      <c r="G27" s="2" t="s">
        <v>44</v>
      </c>
      <c r="H27" s="2" t="s">
        <v>54</v>
      </c>
      <c r="I27" s="2" t="s">
        <v>96</v>
      </c>
    </row>
    <row r="28" spans="1:9">
      <c r="A28" s="2">
        <v>27</v>
      </c>
      <c r="B28" s="2" t="s">
        <v>90</v>
      </c>
      <c r="C28" s="2" t="s">
        <v>97</v>
      </c>
      <c r="D28" s="2" t="s">
        <v>53</v>
      </c>
      <c r="E28" s="16">
        <v>0.85</v>
      </c>
      <c r="F28" s="16"/>
      <c r="G28" s="2" t="s">
        <v>44</v>
      </c>
      <c r="H28" s="2" t="s">
        <v>54</v>
      </c>
      <c r="I28" s="2" t="s">
        <v>98</v>
      </c>
    </row>
    <row r="29" spans="1:9">
      <c r="A29" s="2">
        <v>28</v>
      </c>
      <c r="B29" s="2" t="s">
        <v>90</v>
      </c>
      <c r="C29" s="2" t="s">
        <v>99</v>
      </c>
      <c r="D29" s="2" t="s">
        <v>53</v>
      </c>
      <c r="E29" s="16">
        <v>0.65</v>
      </c>
      <c r="F29" s="16"/>
      <c r="G29" s="2" t="s">
        <v>44</v>
      </c>
      <c r="H29" s="2" t="s">
        <v>54</v>
      </c>
      <c r="I29" s="2" t="s">
        <v>94</v>
      </c>
    </row>
    <row r="30" spans="1:9">
      <c r="A30" s="2">
        <v>29</v>
      </c>
      <c r="B30" s="2" t="s">
        <v>90</v>
      </c>
      <c r="C30" s="2" t="s">
        <v>100</v>
      </c>
      <c r="D30" s="2" t="s">
        <v>53</v>
      </c>
      <c r="E30" s="16">
        <v>0.55000000000000004</v>
      </c>
      <c r="F30" s="16"/>
      <c r="G30" s="2" t="s">
        <v>44</v>
      </c>
      <c r="H30" s="2" t="s">
        <v>75</v>
      </c>
      <c r="I30" s="2" t="s">
        <v>101</v>
      </c>
    </row>
    <row r="31" spans="1:9">
      <c r="A31" s="2">
        <v>30</v>
      </c>
      <c r="B31" s="2" t="s">
        <v>90</v>
      </c>
      <c r="C31" s="2" t="s">
        <v>102</v>
      </c>
      <c r="D31" s="2" t="s">
        <v>53</v>
      </c>
      <c r="E31" s="16">
        <v>0.7</v>
      </c>
      <c r="F31" s="16"/>
      <c r="G31" s="2" t="s">
        <v>44</v>
      </c>
      <c r="H31" s="2" t="s">
        <v>75</v>
      </c>
      <c r="I31" s="2" t="s">
        <v>103</v>
      </c>
    </row>
    <row r="32" spans="1:9">
      <c r="A32" s="2">
        <v>31</v>
      </c>
      <c r="B32" s="2" t="s">
        <v>90</v>
      </c>
      <c r="C32" s="2" t="s">
        <v>104</v>
      </c>
      <c r="D32" s="2" t="s">
        <v>53</v>
      </c>
      <c r="E32" s="16">
        <v>0.85</v>
      </c>
      <c r="F32" s="16"/>
      <c r="G32" s="2" t="s">
        <v>44</v>
      </c>
      <c r="H32" s="2" t="s">
        <v>75</v>
      </c>
      <c r="I32" s="2" t="s">
        <v>105</v>
      </c>
    </row>
    <row r="33" spans="1:9">
      <c r="A33" s="2">
        <v>32</v>
      </c>
      <c r="B33" s="2" t="s">
        <v>90</v>
      </c>
      <c r="C33" s="2" t="s">
        <v>106</v>
      </c>
      <c r="D33" s="2" t="s">
        <v>53</v>
      </c>
      <c r="E33" s="16">
        <v>0.55000000000000004</v>
      </c>
      <c r="F33" s="16"/>
      <c r="G33" s="2" t="s">
        <v>44</v>
      </c>
      <c r="H33" s="2" t="s">
        <v>75</v>
      </c>
      <c r="I33" s="2" t="s">
        <v>107</v>
      </c>
    </row>
    <row r="34" spans="1:9">
      <c r="A34" s="2">
        <v>33</v>
      </c>
      <c r="B34" s="2" t="s">
        <v>90</v>
      </c>
      <c r="C34" s="2" t="s">
        <v>108</v>
      </c>
      <c r="D34" s="2" t="s">
        <v>53</v>
      </c>
      <c r="E34" s="16">
        <v>0.55000000000000004</v>
      </c>
      <c r="F34" s="16"/>
      <c r="G34" s="2" t="s">
        <v>44</v>
      </c>
      <c r="H34" s="2" t="s">
        <v>75</v>
      </c>
      <c r="I34" s="2" t="s">
        <v>109</v>
      </c>
    </row>
    <row r="35" spans="1:9" hidden="1">
      <c r="A35" s="2">
        <v>34</v>
      </c>
      <c r="B35" s="2" t="s">
        <v>110</v>
      </c>
      <c r="C35" s="2" t="s">
        <v>111</v>
      </c>
      <c r="D35" s="2" t="s">
        <v>53</v>
      </c>
      <c r="E35" s="16"/>
      <c r="F35" s="16">
        <v>1</v>
      </c>
      <c r="G35" s="2" t="s">
        <v>44</v>
      </c>
      <c r="H35" s="2" t="s">
        <v>75</v>
      </c>
      <c r="I35" s="2" t="s">
        <v>112</v>
      </c>
    </row>
    <row r="36" spans="1:9" hidden="1">
      <c r="A36" s="2">
        <v>35</v>
      </c>
      <c r="B36" s="2" t="s">
        <v>110</v>
      </c>
      <c r="C36" s="2" t="s">
        <v>113</v>
      </c>
      <c r="D36" s="2" t="s">
        <v>53</v>
      </c>
      <c r="E36" s="16"/>
      <c r="F36" s="16">
        <v>1.3</v>
      </c>
      <c r="G36" s="2" t="s">
        <v>44</v>
      </c>
      <c r="H36" s="2" t="s">
        <v>75</v>
      </c>
      <c r="I36" s="2" t="s">
        <v>114</v>
      </c>
    </row>
    <row r="37" spans="1:9" hidden="1">
      <c r="A37" s="2">
        <v>36</v>
      </c>
      <c r="B37" s="2" t="s">
        <v>110</v>
      </c>
      <c r="C37" s="2" t="s">
        <v>115</v>
      </c>
      <c r="D37" s="2" t="s">
        <v>53</v>
      </c>
      <c r="E37" s="16"/>
      <c r="F37" s="16">
        <v>0.9</v>
      </c>
      <c r="G37" s="2" t="s">
        <v>44</v>
      </c>
      <c r="H37" s="2" t="s">
        <v>75</v>
      </c>
      <c r="I37" s="2" t="s">
        <v>116</v>
      </c>
    </row>
    <row r="38" spans="1:9" hidden="1">
      <c r="A38" s="2">
        <v>37</v>
      </c>
      <c r="B38" s="2" t="s">
        <v>110</v>
      </c>
      <c r="C38" s="2" t="s">
        <v>117</v>
      </c>
      <c r="D38" s="2" t="s">
        <v>53</v>
      </c>
      <c r="E38" s="16"/>
      <c r="F38" s="16">
        <v>1.1000000000000001</v>
      </c>
      <c r="G38" s="2" t="s">
        <v>44</v>
      </c>
      <c r="H38" s="2" t="s">
        <v>75</v>
      </c>
      <c r="I38" s="2" t="s">
        <v>118</v>
      </c>
    </row>
    <row r="39" spans="1:9" hidden="1">
      <c r="A39" s="2">
        <v>38</v>
      </c>
      <c r="B39" s="2" t="s">
        <v>110</v>
      </c>
      <c r="C39" s="2" t="s">
        <v>119</v>
      </c>
      <c r="D39" s="2" t="s">
        <v>53</v>
      </c>
      <c r="E39" s="16"/>
      <c r="F39" s="16">
        <v>1.2</v>
      </c>
      <c r="G39" s="2" t="s">
        <v>44</v>
      </c>
      <c r="H39" s="2" t="s">
        <v>75</v>
      </c>
      <c r="I39" s="2" t="s">
        <v>120</v>
      </c>
    </row>
    <row r="40" spans="1:9" hidden="1">
      <c r="A40" s="2">
        <v>39</v>
      </c>
      <c r="B40" s="2" t="s">
        <v>110</v>
      </c>
      <c r="C40" s="2" t="s">
        <v>121</v>
      </c>
      <c r="D40" s="2" t="s">
        <v>53</v>
      </c>
      <c r="E40" s="16"/>
      <c r="F40" s="16">
        <v>0.5</v>
      </c>
      <c r="G40" s="2" t="s">
        <v>44</v>
      </c>
      <c r="H40" s="2" t="s">
        <v>75</v>
      </c>
      <c r="I40" s="2" t="s">
        <v>122</v>
      </c>
    </row>
    <row r="41" spans="1:9" hidden="1">
      <c r="A41" s="2">
        <v>40</v>
      </c>
      <c r="B41" s="2" t="s">
        <v>110</v>
      </c>
      <c r="C41" s="2" t="s">
        <v>123</v>
      </c>
      <c r="D41" s="2" t="s">
        <v>53</v>
      </c>
      <c r="E41" s="16"/>
      <c r="F41" s="16">
        <v>1.1000000000000001</v>
      </c>
      <c r="G41" s="2" t="s">
        <v>44</v>
      </c>
      <c r="H41" s="2" t="s">
        <v>75</v>
      </c>
      <c r="I41" s="2" t="s">
        <v>124</v>
      </c>
    </row>
    <row r="42" spans="1:9" hidden="1">
      <c r="A42" s="2">
        <v>41</v>
      </c>
      <c r="B42" s="2" t="s">
        <v>125</v>
      </c>
      <c r="C42" s="2" t="s">
        <v>126</v>
      </c>
      <c r="D42" s="2" t="s">
        <v>127</v>
      </c>
      <c r="E42" s="3">
        <v>0.2</v>
      </c>
      <c r="F42" s="3"/>
      <c r="G42" s="2" t="s">
        <v>44</v>
      </c>
      <c r="H42" s="2" t="s">
        <v>75</v>
      </c>
      <c r="I42" s="2" t="s">
        <v>128</v>
      </c>
    </row>
    <row r="43" spans="1:9" hidden="1">
      <c r="A43" s="2">
        <v>42</v>
      </c>
      <c r="B43" s="2" t="s">
        <v>125</v>
      </c>
      <c r="C43" s="2" t="s">
        <v>129</v>
      </c>
      <c r="D43" s="2" t="s">
        <v>53</v>
      </c>
      <c r="E43" s="3">
        <v>0.02</v>
      </c>
      <c r="F43" s="3"/>
      <c r="G43" s="2" t="s">
        <v>44</v>
      </c>
      <c r="H43" s="2" t="s">
        <v>75</v>
      </c>
      <c r="I43" s="2" t="s">
        <v>130</v>
      </c>
    </row>
    <row r="44" spans="1:9" hidden="1">
      <c r="A44" s="2">
        <v>43</v>
      </c>
      <c r="B44" s="2" t="s">
        <v>125</v>
      </c>
      <c r="C44" s="2" t="s">
        <v>131</v>
      </c>
      <c r="D44" s="2" t="s">
        <v>53</v>
      </c>
      <c r="E44" s="3">
        <v>0.02</v>
      </c>
      <c r="F44" s="3"/>
      <c r="G44" s="2" t="s">
        <v>44</v>
      </c>
      <c r="H44" s="2" t="s">
        <v>75</v>
      </c>
      <c r="I44" s="2" t="s">
        <v>132</v>
      </c>
    </row>
    <row r="45" spans="1:9" hidden="1">
      <c r="A45" s="2">
        <v>44</v>
      </c>
      <c r="B45" s="2" t="s">
        <v>133</v>
      </c>
      <c r="C45" s="2" t="s">
        <v>134</v>
      </c>
      <c r="D45" s="2" t="s">
        <v>53</v>
      </c>
      <c r="E45" s="3">
        <v>0.06</v>
      </c>
      <c r="F45" s="3"/>
      <c r="G45" s="2" t="s">
        <v>44</v>
      </c>
      <c r="H45" s="2" t="s">
        <v>54</v>
      </c>
      <c r="I45" s="2" t="s">
        <v>135</v>
      </c>
    </row>
    <row r="46" spans="1:9" hidden="1">
      <c r="A46" s="2">
        <v>45</v>
      </c>
      <c r="B46" s="2" t="s">
        <v>136</v>
      </c>
      <c r="C46" s="2" t="s">
        <v>137</v>
      </c>
      <c r="D46" s="2" t="s">
        <v>53</v>
      </c>
      <c r="E46" s="3">
        <v>2.5</v>
      </c>
      <c r="F46" s="3"/>
      <c r="G46" s="2" t="s">
        <v>44</v>
      </c>
      <c r="H46" s="2" t="s">
        <v>75</v>
      </c>
      <c r="I46" s="2" t="s">
        <v>138</v>
      </c>
    </row>
    <row r="47" spans="1:9" hidden="1">
      <c r="A47" s="2">
        <v>46</v>
      </c>
      <c r="B47" s="2" t="s">
        <v>136</v>
      </c>
      <c r="C47" s="2" t="s">
        <v>139</v>
      </c>
      <c r="D47" s="2" t="s">
        <v>53</v>
      </c>
      <c r="E47" s="3">
        <v>2.5</v>
      </c>
      <c r="F47" s="3"/>
      <c r="G47" s="2" t="s">
        <v>44</v>
      </c>
      <c r="H47" s="2" t="s">
        <v>75</v>
      </c>
      <c r="I47" s="2" t="s">
        <v>140</v>
      </c>
    </row>
    <row r="48" spans="1:9" hidden="1">
      <c r="A48" s="2">
        <v>47</v>
      </c>
      <c r="B48" s="2" t="s">
        <v>136</v>
      </c>
      <c r="C48" s="2" t="s">
        <v>141</v>
      </c>
      <c r="D48" s="2" t="s">
        <v>53</v>
      </c>
      <c r="E48" s="3">
        <v>0.35</v>
      </c>
      <c r="F48" s="3"/>
      <c r="G48" s="2" t="s">
        <v>44</v>
      </c>
      <c r="H48" s="2" t="s">
        <v>75</v>
      </c>
      <c r="I48" s="2" t="s">
        <v>142</v>
      </c>
    </row>
    <row r="49" spans="1:9" hidden="1">
      <c r="A49" s="2">
        <v>48</v>
      </c>
      <c r="B49" s="2" t="s">
        <v>136</v>
      </c>
      <c r="C49" s="2" t="s">
        <v>143</v>
      </c>
      <c r="D49" s="2" t="s">
        <v>53</v>
      </c>
      <c r="E49" s="3">
        <v>2</v>
      </c>
      <c r="F49" s="3"/>
      <c r="G49" s="2" t="s">
        <v>44</v>
      </c>
      <c r="H49" s="2" t="s">
        <v>75</v>
      </c>
      <c r="I49" s="2" t="s">
        <v>144</v>
      </c>
    </row>
    <row r="50" spans="1:9" hidden="1">
      <c r="A50" s="2">
        <v>49</v>
      </c>
      <c r="B50" s="2" t="s">
        <v>136</v>
      </c>
      <c r="C50" s="2" t="s">
        <v>145</v>
      </c>
      <c r="D50" s="2" t="s">
        <v>53</v>
      </c>
      <c r="E50" s="3">
        <v>1.5</v>
      </c>
      <c r="F50" s="3"/>
      <c r="G50" s="2" t="s">
        <v>44</v>
      </c>
      <c r="H50" s="2" t="s">
        <v>75</v>
      </c>
      <c r="I50" s="2" t="s">
        <v>146</v>
      </c>
    </row>
    <row r="51" spans="1:9" hidden="1">
      <c r="A51" s="2">
        <v>50</v>
      </c>
      <c r="B51" s="2" t="s">
        <v>147</v>
      </c>
      <c r="C51" s="2" t="s">
        <v>148</v>
      </c>
      <c r="D51" s="2" t="s">
        <v>53</v>
      </c>
      <c r="E51" s="3">
        <v>0</v>
      </c>
      <c r="F51" s="3"/>
      <c r="G51" s="2" t="s">
        <v>44</v>
      </c>
      <c r="H51" s="2" t="s">
        <v>75</v>
      </c>
      <c r="I51" s="2" t="s">
        <v>149</v>
      </c>
    </row>
    <row r="52" spans="1:9" hidden="1">
      <c r="A52" s="2">
        <v>51</v>
      </c>
      <c r="B52" s="2" t="s">
        <v>147</v>
      </c>
      <c r="C52" s="2" t="s">
        <v>150</v>
      </c>
      <c r="D52" s="2" t="s">
        <v>53</v>
      </c>
      <c r="E52" s="3">
        <v>0</v>
      </c>
      <c r="F52" s="3"/>
      <c r="G52" s="2" t="s">
        <v>44</v>
      </c>
      <c r="H52" s="2" t="s">
        <v>75</v>
      </c>
      <c r="I52" s="2" t="s">
        <v>149</v>
      </c>
    </row>
    <row r="53" spans="1:9">
      <c r="E53" s="4"/>
      <c r="F53" s="4"/>
    </row>
    <row r="54" spans="1:9">
      <c r="E54" s="4"/>
      <c r="F54" s="4"/>
    </row>
    <row r="55" spans="1:9">
      <c r="E55" s="4"/>
      <c r="F55" s="4"/>
    </row>
    <row r="56" spans="1:9">
      <c r="E56" s="4"/>
      <c r="F56" s="4"/>
    </row>
    <row r="57" spans="1:9">
      <c r="E57" s="4"/>
      <c r="F57" s="4"/>
    </row>
    <row r="58" spans="1:9">
      <c r="E58" s="4"/>
      <c r="F58" s="4"/>
    </row>
    <row r="59" spans="1:9">
      <c r="E59" s="4"/>
      <c r="F59" s="4"/>
    </row>
    <row r="60" spans="1:9">
      <c r="E60" s="4"/>
      <c r="F60" s="4"/>
    </row>
  </sheetData>
  <conditionalFormatting sqref="G2:G52">
    <cfRule type="expression" dxfId="2" priority="1">
      <formula>$G2="No"</formula>
    </cfRule>
  </conditionalFormatting>
  <conditionalFormatting sqref="H2:H52">
    <cfRule type="expression" dxfId="1" priority="2">
      <formula>$H2="Low"</formula>
    </cfRule>
    <cfRule type="expression" dxfId="0" priority="3">
      <formula>$H2="High"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BC83-E98F-41D6-A860-12C5E233E43C}">
  <dimension ref="A1:C16"/>
  <sheetViews>
    <sheetView workbookViewId="0">
      <selection activeCell="C24" sqref="C24"/>
    </sheetView>
  </sheetViews>
  <sheetFormatPr defaultRowHeight="14"/>
  <cols>
    <col min="1" max="1" width="18" customWidth="1"/>
    <col min="2" max="2" width="13" customWidth="1"/>
    <col min="3" max="3" width="60" customWidth="1"/>
  </cols>
  <sheetData>
    <row r="1" spans="1:3">
      <c r="A1" s="5" t="s">
        <v>151</v>
      </c>
      <c r="B1" s="5" t="s">
        <v>152</v>
      </c>
      <c r="C1" s="5" t="s">
        <v>40</v>
      </c>
    </row>
    <row r="2" spans="1:3">
      <c r="A2" t="s">
        <v>153</v>
      </c>
      <c r="B2" s="6">
        <v>1</v>
      </c>
      <c r="C2" t="s">
        <v>154</v>
      </c>
    </row>
    <row r="3" spans="1:3">
      <c r="A3" t="s">
        <v>155</v>
      </c>
      <c r="B3" s="6">
        <f>1.45</f>
        <v>1.45</v>
      </c>
      <c r="C3" t="s">
        <v>215</v>
      </c>
    </row>
    <row r="4" spans="1:3">
      <c r="A4" t="s">
        <v>156</v>
      </c>
      <c r="B4" s="6">
        <v>3</v>
      </c>
      <c r="C4" t="s">
        <v>157</v>
      </c>
    </row>
    <row r="5" spans="1:3">
      <c r="A5" t="s">
        <v>158</v>
      </c>
      <c r="B5" s="6">
        <v>4.7</v>
      </c>
      <c r="C5" t="s">
        <v>159</v>
      </c>
    </row>
    <row r="6" spans="1:3">
      <c r="A6" t="s">
        <v>160</v>
      </c>
      <c r="B6" s="6">
        <v>8</v>
      </c>
      <c r="C6" t="s">
        <v>159</v>
      </c>
    </row>
    <row r="7" spans="1:3">
      <c r="A7" t="s">
        <v>161</v>
      </c>
      <c r="B7" s="6">
        <f>B6*2</f>
        <v>16</v>
      </c>
      <c r="C7" t="s">
        <v>159</v>
      </c>
    </row>
    <row r="8" spans="1:3">
      <c r="B8" s="6"/>
    </row>
    <row r="9" spans="1:3">
      <c r="B9" s="6"/>
    </row>
    <row r="10" spans="1:3">
      <c r="A10" s="1" t="s">
        <v>162</v>
      </c>
      <c r="B10" s="7" t="s">
        <v>152</v>
      </c>
      <c r="C10" s="1" t="s">
        <v>40</v>
      </c>
    </row>
    <row r="11" spans="1:3">
      <c r="A11" t="s">
        <v>163</v>
      </c>
      <c r="B11" s="6">
        <v>1</v>
      </c>
      <c r="C11" t="s">
        <v>164</v>
      </c>
    </row>
    <row r="12" spans="1:3">
      <c r="A12" t="s">
        <v>165</v>
      </c>
      <c r="B12" s="6"/>
      <c r="C12" t="s">
        <v>212</v>
      </c>
    </row>
    <row r="13" spans="1:3">
      <c r="A13" t="s">
        <v>166</v>
      </c>
      <c r="B13" s="6"/>
      <c r="C13" t="s">
        <v>212</v>
      </c>
    </row>
    <row r="14" spans="1:3">
      <c r="A14" t="s">
        <v>167</v>
      </c>
      <c r="B14" s="6"/>
      <c r="C14" t="s">
        <v>212</v>
      </c>
    </row>
    <row r="15" spans="1:3">
      <c r="A15" t="s">
        <v>168</v>
      </c>
      <c r="B15" s="6"/>
      <c r="C15" t="s">
        <v>212</v>
      </c>
    </row>
    <row r="16" spans="1:3">
      <c r="A16" t="s">
        <v>169</v>
      </c>
      <c r="B16" s="6"/>
      <c r="C16" t="s">
        <v>212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E7" sqref="E7"/>
    </sheetView>
  </sheetViews>
  <sheetFormatPr defaultRowHeight="14"/>
  <cols>
    <col min="1" max="1" width="18" customWidth="1"/>
    <col min="2" max="2" width="13" customWidth="1"/>
    <col min="3" max="3" width="60" customWidth="1"/>
  </cols>
  <sheetData>
    <row r="1" spans="1:3">
      <c r="A1" s="5" t="s">
        <v>151</v>
      </c>
      <c r="B1" s="5" t="s">
        <v>152</v>
      </c>
      <c r="C1" s="5" t="s">
        <v>40</v>
      </c>
    </row>
    <row r="2" spans="1:3">
      <c r="A2" t="s">
        <v>153</v>
      </c>
      <c r="B2" s="6">
        <v>1</v>
      </c>
      <c r="C2" t="s">
        <v>154</v>
      </c>
    </row>
    <row r="3" spans="1:3">
      <c r="A3" t="s">
        <v>155</v>
      </c>
      <c r="B3" s="6">
        <f>1.45*1.5</f>
        <v>2.1749999999999998</v>
      </c>
      <c r="C3" t="s">
        <v>214</v>
      </c>
    </row>
    <row r="4" spans="1:3">
      <c r="A4" t="s">
        <v>156</v>
      </c>
      <c r="B4" s="6">
        <v>4.4000000000000004</v>
      </c>
      <c r="C4" t="s">
        <v>157</v>
      </c>
    </row>
    <row r="5" spans="1:3">
      <c r="A5" t="s">
        <v>158</v>
      </c>
      <c r="B5" s="6">
        <v>5.2</v>
      </c>
      <c r="C5" t="s">
        <v>159</v>
      </c>
    </row>
    <row r="6" spans="1:3">
      <c r="A6" t="s">
        <v>160</v>
      </c>
      <c r="B6" s="6">
        <v>8.6999999999999993</v>
      </c>
      <c r="C6" t="s">
        <v>159</v>
      </c>
    </row>
    <row r="7" spans="1:3">
      <c r="A7" t="s">
        <v>161</v>
      </c>
      <c r="B7" s="6">
        <v>14.4</v>
      </c>
      <c r="C7" t="s">
        <v>159</v>
      </c>
    </row>
    <row r="8" spans="1:3">
      <c r="B8" s="6"/>
    </row>
    <row r="9" spans="1:3">
      <c r="B9" s="6"/>
    </row>
    <row r="10" spans="1:3">
      <c r="A10" s="1" t="s">
        <v>162</v>
      </c>
      <c r="B10" s="7" t="s">
        <v>152</v>
      </c>
      <c r="C10" s="1" t="s">
        <v>40</v>
      </c>
    </row>
    <row r="11" spans="1:3">
      <c r="A11" t="s">
        <v>163</v>
      </c>
      <c r="B11" s="6">
        <v>1</v>
      </c>
      <c r="C11" t="s">
        <v>164</v>
      </c>
    </row>
    <row r="12" spans="1:3">
      <c r="A12" t="s">
        <v>165</v>
      </c>
      <c r="B12" s="6"/>
      <c r="C12" t="s">
        <v>212</v>
      </c>
    </row>
    <row r="13" spans="1:3">
      <c r="A13" t="s">
        <v>166</v>
      </c>
      <c r="B13" s="6"/>
      <c r="C13" t="s">
        <v>212</v>
      </c>
    </row>
    <row r="14" spans="1:3">
      <c r="A14" t="s">
        <v>167</v>
      </c>
      <c r="B14" s="6"/>
      <c r="C14" t="s">
        <v>212</v>
      </c>
    </row>
    <row r="15" spans="1:3">
      <c r="A15" t="s">
        <v>168</v>
      </c>
      <c r="B15" s="6"/>
      <c r="C15" t="s">
        <v>212</v>
      </c>
    </row>
    <row r="16" spans="1:3">
      <c r="A16" t="s">
        <v>169</v>
      </c>
      <c r="B16" s="6"/>
      <c r="C16" t="s">
        <v>212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4"/>
  <cols>
    <col min="1" max="1" width="25" customWidth="1"/>
    <col min="2" max="2" width="100" customWidth="1"/>
  </cols>
  <sheetData>
    <row r="1" spans="1:2">
      <c r="A1" s="1" t="s">
        <v>170</v>
      </c>
      <c r="B1" s="1" t="s">
        <v>171</v>
      </c>
    </row>
    <row r="2" spans="1:2" ht="28">
      <c r="A2" s="9" t="s">
        <v>172</v>
      </c>
      <c r="B2" s="2" t="s">
        <v>173</v>
      </c>
    </row>
    <row r="3" spans="1:2">
      <c r="A3" s="9" t="s">
        <v>174</v>
      </c>
      <c r="B3" s="2" t="s">
        <v>175</v>
      </c>
    </row>
    <row r="4" spans="1:2">
      <c r="A4" s="9" t="s">
        <v>176</v>
      </c>
      <c r="B4" s="2" t="s">
        <v>177</v>
      </c>
    </row>
    <row r="5" spans="1:2" ht="28">
      <c r="A5" s="9" t="s">
        <v>178</v>
      </c>
      <c r="B5" s="2" t="s">
        <v>179</v>
      </c>
    </row>
    <row r="6" spans="1:2">
      <c r="A6" s="9" t="s">
        <v>180</v>
      </c>
      <c r="B6" s="2" t="s">
        <v>181</v>
      </c>
    </row>
    <row r="7" spans="1:2">
      <c r="A7" s="9" t="s">
        <v>182</v>
      </c>
      <c r="B7" s="2" t="s">
        <v>183</v>
      </c>
    </row>
    <row r="8" spans="1:2" ht="28">
      <c r="A8" s="9" t="s">
        <v>184</v>
      </c>
      <c r="B8" s="2" t="s">
        <v>185</v>
      </c>
    </row>
    <row r="9" spans="1:2">
      <c r="A9" s="9" t="s">
        <v>186</v>
      </c>
      <c r="B9" s="2" t="s">
        <v>187</v>
      </c>
    </row>
    <row r="12" spans="1:2">
      <c r="A12" s="8" t="s">
        <v>188</v>
      </c>
      <c r="B12" s="15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D17" sqref="D17"/>
    </sheetView>
  </sheetViews>
  <sheetFormatPr defaultRowHeight="14"/>
  <cols>
    <col min="1" max="1" width="28" customWidth="1"/>
    <col min="2" max="2" width="24" customWidth="1"/>
    <col min="3" max="3" width="18" customWidth="1"/>
    <col min="4" max="4" width="55" customWidth="1"/>
  </cols>
  <sheetData>
    <row r="1" spans="1:4">
      <c r="A1" s="21" t="s">
        <v>190</v>
      </c>
      <c r="B1" s="22"/>
      <c r="C1" s="22"/>
      <c r="D1" s="22"/>
    </row>
    <row r="3" spans="1:4">
      <c r="A3" s="1" t="s">
        <v>191</v>
      </c>
      <c r="B3" s="1" t="s">
        <v>19</v>
      </c>
      <c r="C3" s="1" t="s">
        <v>192</v>
      </c>
      <c r="D3" s="1" t="s">
        <v>193</v>
      </c>
    </row>
    <row r="4" spans="1:4">
      <c r="A4" s="8" t="s">
        <v>194</v>
      </c>
      <c r="B4" s="12">
        <v>1000</v>
      </c>
      <c r="C4" t="s">
        <v>195</v>
      </c>
      <c r="D4" t="s">
        <v>196</v>
      </c>
    </row>
    <row r="5" spans="1:4">
      <c r="A5" s="8" t="s">
        <v>197</v>
      </c>
      <c r="B5" s="12" t="s">
        <v>58</v>
      </c>
      <c r="C5" t="s">
        <v>198</v>
      </c>
      <c r="D5" t="s">
        <v>199</v>
      </c>
    </row>
    <row r="6" spans="1:4">
      <c r="A6" s="8" t="s">
        <v>200</v>
      </c>
      <c r="B6" s="13">
        <f>_xlfn.SINGLE(_xlfn.XLOOKUP(B5,'Component Factor Master'!C:C,'Component Factor Master'!E:E,"Manual Review"))</f>
        <v>0.55000000000000004</v>
      </c>
      <c r="C6" t="s">
        <v>201</v>
      </c>
      <c r="D6" t="s">
        <v>202</v>
      </c>
    </row>
    <row r="7" spans="1:4">
      <c r="A7" s="8" t="s">
        <v>151</v>
      </c>
      <c r="B7" s="13" t="s">
        <v>153</v>
      </c>
      <c r="C7" t="s">
        <v>198</v>
      </c>
      <c r="D7" t="s">
        <v>203</v>
      </c>
    </row>
    <row r="8" spans="1:4">
      <c r="A8" s="8" t="s">
        <v>204</v>
      </c>
      <c r="B8" s="13" t="e">
        <f ca="1">_xludf.XLOOKUP(B7,Multipliers_valve!A:A,Multipliers_valve!B:B,"Manual Review")</f>
        <v>#NAME?</v>
      </c>
      <c r="C8" t="s">
        <v>201</v>
      </c>
      <c r="D8" t="s">
        <v>205</v>
      </c>
    </row>
    <row r="9" spans="1:4">
      <c r="A9" s="8" t="s">
        <v>206</v>
      </c>
      <c r="B9" s="13">
        <v>1</v>
      </c>
      <c r="C9" t="s">
        <v>201</v>
      </c>
      <c r="D9" t="s">
        <v>164</v>
      </c>
    </row>
    <row r="10" spans="1:4">
      <c r="A10" s="8" t="s">
        <v>207</v>
      </c>
      <c r="B10" s="12">
        <v>10</v>
      </c>
      <c r="C10" t="s">
        <v>53</v>
      </c>
      <c r="D10" t="s">
        <v>208</v>
      </c>
    </row>
    <row r="11" spans="1:4">
      <c r="A11" s="8"/>
    </row>
    <row r="12" spans="1:4" ht="15.5">
      <c r="A12" s="8" t="s">
        <v>209</v>
      </c>
      <c r="B12" s="14" t="e">
        <f ca="1">IF(OR(B6="Manual Review",B8="Manual Review"),"Manual Review",B4*B6*B8*B9*B10)</f>
        <v>#NAME?</v>
      </c>
      <c r="C12" t="s">
        <v>210</v>
      </c>
      <c r="D12" t="s">
        <v>211</v>
      </c>
    </row>
  </sheetData>
  <mergeCells count="1">
    <mergeCell ref="A1:D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xr:uid="{00000000-0002-0000-0400-000000000000}">
          <x14:formula1>
            <xm:f>'Component Factor Master'!$C$2:$C$52</xm:f>
          </x14:formula1>
          <xm:sqref>B5</xm:sqref>
        </x14:dataValidation>
        <x14:dataValidation type="list" xr:uid="{00000000-0002-0000-0400-000001000000}">
          <x14:formula1>
            <xm:f>Multipliers_valve!$A$2:$A$7</xm:f>
          </x14:formula1>
          <xm:sqref>B7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Approval Summary</vt:lpstr>
      <vt:lpstr>Component Factor Master</vt:lpstr>
      <vt:lpstr>Multipliers_flange</vt:lpstr>
      <vt:lpstr>Multipliers_valve</vt:lpstr>
      <vt:lpstr>Methodology</vt:lpstr>
      <vt:lpstr>Budget Calculator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Medini Kr. Bora [मेदिनी कुमार बोरा]</cp:lastModifiedBy>
  <dcterms:modified xsi:type="dcterms:W3CDTF">2026-07-10T15:57:09Z</dcterms:modified>
</cp:coreProperties>
</file>